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6c4bd613c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sumptions" sheetId="1" r:id="R9df82c2256e74f3c"/>
    <x:sheet xmlns:r="http://schemas.openxmlformats.org/officeDocument/2006/relationships" name="02_Base_Case" sheetId="2" r:id="Rda644ece6a6a4982"/>
    <x:sheet xmlns:r="http://schemas.openxmlformats.org/officeDocument/2006/relationships" name="03_Sensitivity" sheetId="3" r:id="R72794c0e3c3d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0%"/>
    <x:numFmt numFmtId="202" formatCode="0.0%"/>
    <x:numFmt numFmtId="203" formatCode="$#,##0"/>
    <x:numFmt numFmtId="204" formatCode="0.0"/>
    <x:numFmt numFmtId="205" formatCode="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22222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  <x:font>
      <x:sz val="11"/>
      <x:color rgb="FF0070C0"/>
      <x:name val="Carlito"/>
    </x:font>
    <x:font>
      <x:i/>
      <x:sz val="11"/>
      <x:color rgb="FF666666"/>
      <x:name val="Carlito"/>
    </x:font>
    <x:font>
      <x:i/>
      <x:sz val="11"/>
      <x:color rgb="FF555555"/>
      <x:name val="Carlito"/>
    </x:font>
    <x:font>
      <x:b/>
      <x:sz val="11"/>
      <x:color rgb="FF17365D"/>
      <x:name val="Carlito"/>
    </x:font>
    <x:font>
      <x:b/>
      <x:sz val="11"/>
      <x:color rgb="FF2F6B4F"/>
      <x:name val="Carlito"/>
    </x:font>
    <x:font>
      <x:i/>
      <x:sz val="11"/>
      <x:color rgb="FF222222"/>
      <x:name val="Carlito"/>
    </x:font>
    <x:font>
      <x:b/>
      <x:sz val="11"/>
      <x:color rgb="FF22222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DF2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0" fontId="4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202" fontId="5" fillId="4" borderId="0" xfId="0" applyNumberFormat="1" applyFont="1" applyFill="1" applyBorder="1"/>
    <x:xf numFmtId="203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203" fontId="0" fillId="3" borderId="0" xfId="0" applyNumberFormat="1" applyFont="1" applyFill="1" applyBorder="1" applyAlignment="1">
      <x:alignment vertical="center" wrapText="1"/>
    </x:xf>
    <x:xf numFmtId="201" fontId="11" fillId="3" borderId="0" xfId="0" applyNumberFormat="1" applyFont="1" applyFill="1" applyBorder="1" applyAlignment="1">
      <x:alignment vertical="center" wrapText="1"/>
    </x:xf>
    <x:xf numFmtId="203" fontId="11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200" fontId="1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ef7e666474227" /><Relationship Type="http://schemas.openxmlformats.org/officeDocument/2006/relationships/theme" Target="/xl/theme/theme1.xml" Id="R98d295fea1134032" /><Relationship Type="http://schemas.openxmlformats.org/officeDocument/2006/relationships/sharedStrings" Target="/xl/sharedStrings.xml" Id="R87d6498aad124e12" /><Relationship Type="http://schemas.openxmlformats.org/officeDocument/2006/relationships/worksheet" Target="/xl/worksheets/sheet1.xml" Id="R9df82c2256e74f3c" /><Relationship Type="http://schemas.openxmlformats.org/officeDocument/2006/relationships/worksheet" Target="/xl/worksheets/sheet2.xml" Id="Rda644ece6a6a4982" /><Relationship Type="http://schemas.openxmlformats.org/officeDocument/2006/relationships/worksheet" Target="/xl/worksheets/sheet3.xml" Id="R72794c0e3c3d4a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16" hidden="0" customWidth="1"/>
    <x:col min="4" max="4" width="36" hidden="0" customWidth="1"/>
  </x:cols>
  <x:sheetData>
    <x:row r="1" ht="28" customHeight="1">
      <x:c r="A1" s="3" t="str">
        <x:v>AI-Assisted Sales Productivity Pilot</x:v>
      </x:c>
      <x:c r="B1" s="3"/>
      <x:c r="C1" s="3"/>
      <x:c r="D1" s="3"/>
    </x:row>
    <x:row r="2" ht="22" customHeight="1">
      <x:c r="A2" s="6" t="str">
        <x:v>Model assumptions | 40 users | 12-week pilot | USD</x:v>
      </x:c>
      <x:c r="B2" s="6"/>
      <x:c r="C2" s="6"/>
      <x:c r="D2" s="6"/>
    </x:row>
    <x:row r="3">
      <x:c r="A3" s="23"/>
      <x:c r="B3" s="23"/>
      <x:c r="C3" s="23"/>
      <x:c r="D3" s="23"/>
    </x:row>
    <x:row r="4" ht="20" customHeight="1">
      <x:c r="A4" s="24" t="str">
        <x:v>Assumption</x:v>
      </x:c>
      <x:c r="B4" s="24" t="str">
        <x:v>Base case</x:v>
      </x:c>
      <x:c r="C4" s="24" t="str">
        <x:v>Units</x:v>
      </x:c>
      <x:c r="D4" s="24" t="str">
        <x:v>Notes</x:v>
      </x:c>
    </x:row>
    <x:row r="5" ht="20" customHeight="1">
      <x:c r="A5" s="25" t="str">
        <x:v>Pilot users</x:v>
      </x:c>
      <x:c r="B5" s="26" t="n">
        <x:v>40</x:v>
      </x:c>
      <x:c r="C5" s="23" t="str">
        <x:v>users</x:v>
      </x:c>
      <x:c r="D5" s="27" t="str">
        <x:v>Pilot cohort</x:v>
      </x:c>
    </x:row>
    <x:row r="6" ht="20" customHeight="1">
      <x:c r="A6" s="25" t="str">
        <x:v>Pilot weeks</x:v>
      </x:c>
      <x:c r="B6" s="26" t="n">
        <x:v>12</x:v>
      </x:c>
      <x:c r="C6" s="23" t="str">
        <x:v>weeks</x:v>
      </x:c>
      <x:c r="D6" s="27" t="str">
        <x:v>Evaluation period</x:v>
      </x:c>
    </x:row>
    <x:row r="7" ht="20" customHeight="1">
      <x:c r="A7" s="25" t="str">
        <x:v>Current admin/prep hours per user/week</x:v>
      </x:c>
      <x:c r="B7" s="26" t="n">
        <x:v>8</x:v>
      </x:c>
      <x:c r="C7" s="23" t="str">
        <x:v>hours</x:v>
      </x:c>
      <x:c r="D7" s="27" t="str">
        <x:v>Current workload estimate</x:v>
      </x:c>
    </x:row>
    <x:row r="8" ht="20" customHeight="1">
      <x:c r="A8" s="25" t="str">
        <x:v>Expected time reduction</x:v>
      </x:c>
      <x:c r="B8" s="28" t="n">
        <x:v>0.3125</x:v>
      </x:c>
      <x:c r="C8" s="23" t="str">
        <x:v>rate</x:v>
      </x:c>
      <x:c r="D8" s="27" t="str">
        <x:v>Base productivity assumption</x:v>
      </x:c>
    </x:row>
    <x:row r="9" ht="20" customHeight="1">
      <x:c r="A9" s="25" t="str">
        <x:v>Hours saved/user/week</x:v>
      </x:c>
      <x:c r="B9" s="29" t="n">
        <x:f>B7*B8</x:f>
        <x:v>2.5</x:v>
      </x:c>
      <x:c r="C9" s="23" t="str">
        <x:v>hours</x:v>
      </x:c>
      <x:c r="D9" s="27" t="str">
        <x:v>Calculated from current hours and time reduction</x:v>
      </x:c>
    </x:row>
    <x:row r="10" ht="20" customHeight="1">
      <x:c r="A10" s="25" t="str">
        <x:v>Loaded salesperson cost/hour</x:v>
      </x:c>
      <x:c r="B10" s="30" t="n">
        <x:v>55</x:v>
      </x:c>
      <x:c r="C10" s="23" t="str">
        <x:v>USD/hour</x:v>
      </x:c>
      <x:c r="D10" s="27" t="str">
        <x:v>Loaded cost</x:v>
      </x:c>
    </x:row>
    <x:row r="11" ht="20" customHeight="1">
      <x:c r="A11" s="25" t="str">
        <x:v>Effective adoption assumed in financial model</x:v>
      </x:c>
      <x:c r="B11" s="31" t="n">
        <x:v>0.75</x:v>
      </x:c>
      <x:c r="C11" s="23" t="str">
        <x:v>rate</x:v>
      </x:c>
      <x:c r="D11" s="27" t="str">
        <x:v>Financial base case</x:v>
      </x:c>
    </x:row>
    <x:row r="12" ht="20" customHeight="1">
      <x:c r="A12" s="25" t="str">
        <x:v>Success threshold for adoption</x:v>
      </x:c>
      <x:c r="B12" s="31" t="n">
        <x:v>0.6</x:v>
      </x:c>
      <x:c r="C12" s="23" t="str">
        <x:v>rate</x:v>
      </x:c>
      <x:c r="D12" s="27" t="str">
        <x:v>Pilot success metric</x:v>
      </x:c>
    </x:row>
    <x:row r="13" ht="20" customHeight="1">
      <x:c r="A13" s="25" t="str">
        <x:v>Additional customer interactions/user/week</x:v>
      </x:c>
      <x:c r="B13" s="26" t="n">
        <x:v>2</x:v>
      </x:c>
      <x:c r="C13" s="23" t="str">
        <x:v>interactions</x:v>
      </x:c>
      <x:c r="D13" s="27" t="str">
        <x:v>Redeployment of recovered capacity</x:v>
      </x:c>
    </x:row>
    <x:row r="14" ht="20" customHeight="1">
      <x:c r="A14" s="25" t="str">
        <x:v>Incremental conversion assumption</x:v>
      </x:c>
      <x:c r="B14" s="32" t="n">
        <x:v>0.05</x:v>
      </x:c>
      <x:c r="C14" s="23" t="str">
        <x:v>rate</x:v>
      </x:c>
      <x:c r="D14" s="27" t="str">
        <x:v>Commercial modeling assumption</x:v>
      </x:c>
    </x:row>
    <x:row r="15" ht="20" customHeight="1">
      <x:c r="A15" s="25" t="str">
        <x:v>Avg. contribution per incremental deal</x:v>
      </x:c>
      <x:c r="B15" s="30" t="n">
        <x:v>12000</x:v>
      </x:c>
      <x:c r="C15" s="23" t="str">
        <x:v>USD/deal</x:v>
      </x:c>
      <x:c r="D15" s="27" t="str">
        <x:v>Contribution basis</x:v>
      </x:c>
    </x:row>
    <x:row r="16" ht="20" customHeight="1">
      <x:c r="A16" s="25" t="str">
        <x:v>Attributable pipeline realization factor</x:v>
      </x:c>
      <x:c r="B16" s="28" t="n">
        <x:v>0.2666666667</x:v>
      </x:c>
      <x:c r="C16" s="23" t="str">
        <x:v>rate</x:v>
      </x:c>
      <x:c r="D16" s="27" t="str">
        <x:v>Applied to modeled incremental interactions</x:v>
      </x:c>
    </x:row>
    <x:row r="17" ht="20" customHeight="1">
      <x:c r="A17" s="25" t="str">
        <x:v>External pilot cost</x:v>
      </x:c>
      <x:c r="B17" s="30" t="n">
        <x:v>120000</x:v>
      </x:c>
      <x:c r="C17" s="23" t="str">
        <x:v>USD</x:v>
      </x:c>
      <x:c r="D17" s="27" t="str">
        <x:v>External spend</x:v>
      </x:c>
    </x:row>
    <x:row r="18" ht="20" customHeight="1">
      <x:c r="A18" s="25" t="str">
        <x:v>Internal enablement/IT cost</x:v>
      </x:c>
      <x:c r="B18" s="26" t="str">
        <x:v>Excluded / treated as BAU</x:v>
      </x:c>
      <x:c r="C18" s="23" t="str">
        <x:v>text</x:v>
      </x:c>
      <x:c r="D18" s="27" t="str">
        <x:v>Not included in stated pilot cost</x:v>
      </x:c>
    </x:row>
    <x:row r="19">
      <x:c r="A19" s="23"/>
      <x:c r="B19" s="23"/>
      <x:c r="C19" s="23"/>
      <x:c r="D19" s="23"/>
    </x:row>
    <x:row r="20" ht="32" customHeight="1">
      <x:c r="A20" s="33" t="str">
        <x:v>Blue-font cells are user inputs. Gray calculation cells are formula-driven. All outputs update when assumptions change.</x:v>
      </x:c>
      <x:c r="B20" s="33"/>
      <x:c r="C20" s="33"/>
      <x:c r="D20" s="33"/>
    </x:row>
  </x:sheetData>
  <x:mergeCells>
    <x:mergeCell ref="A1:D1"/>
    <x:mergeCell ref="A2:D2"/>
    <x:mergeCell ref="A20:D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6" hidden="0" customWidth="1"/>
    <x:col min="3" max="3" width="18" hidden="0" customWidth="1"/>
    <x:col min="4" max="4" width="14" hidden="0" customWidth="1"/>
  </x:cols>
  <x:sheetData>
    <x:row r="1" ht="28" customHeight="1">
      <x:c r="A1" s="3" t="str">
        <x:v>Base Case Economics</x:v>
      </x:c>
      <x:c r="B1" s="3"/>
      <x:c r="C1" s="3"/>
      <x:c r="D1" s="3"/>
    </x:row>
    <x:row r="2" ht="22" customHeight="1">
      <x:c r="A2" s="6" t="str">
        <x:v>Formula-driven pilot-period ROI and stated payback</x:v>
      </x:c>
      <x:c r="B2" s="6"/>
      <x:c r="C2" s="6"/>
      <x:c r="D2" s="6"/>
    </x:row>
    <x:row r="3">
      <x:c r="A3" s="23"/>
      <x:c r="B3" s="23"/>
      <x:c r="C3" s="23"/>
      <x:c r="D3" s="23"/>
    </x:row>
    <x:row r="4" ht="20" customHeight="1">
      <x:c r="A4" s="36" t="str">
        <x:v>Operating calculations</x:v>
      </x:c>
      <x:c r="B4" s="36"/>
      <x:c r="C4" s="36"/>
      <x:c r="D4" s="36"/>
    </x:row>
    <x:row r="5" ht="20" customHeight="1">
      <x:c r="A5" s="50" t="str">
        <x:v>Metric</x:v>
      </x:c>
      <x:c r="B5" s="50" t="str">
        <x:v>Formula / driver</x:v>
      </x:c>
      <x:c r="C5" s="50" t="str">
        <x:v>Output</x:v>
      </x:c>
      <x:c r="D5" s="50" t="str">
        <x:v>Units</x:v>
      </x:c>
    </x:row>
    <x:row r="6" ht="20" customHeight="1">
      <x:c r="A6" s="51" t="str">
        <x:v>Total hours saved</x:v>
      </x:c>
      <x:c r="B6" s="51" t="str">
        <x:v>Users × weeks × hours saved/user/week</x:v>
      </x:c>
      <x:c r="C6" s="51" t="n">
        <x:f>'01_Assumptions'!B5*'01_Assumptions'!B6*'01_Assumptions'!B9</x:f>
        <x:v>1200</x:v>
      </x:c>
      <x:c r="D6" s="51" t="str">
        <x:v>hours</x:v>
      </x:c>
    </x:row>
    <x:row r="7" ht="20" customHeight="1">
      <x:c r="A7" s="51" t="str">
        <x:v>Productivity benefit</x:v>
      </x:c>
      <x:c r="B7" s="51" t="str">
        <x:v>Total hours saved × loaded cost/hour</x:v>
      </x:c>
      <x:c r="C7" s="52" t="n">
        <x:f>C6*'01_Assumptions'!B10</x:f>
        <x:v>66000</x:v>
      </x:c>
      <x:c r="D7" s="51" t="str">
        <x:v>USD</x:v>
      </x:c>
    </x:row>
    <x:row r="8" ht="20" customHeight="1">
      <x:c r="A8" s="51" t="str">
        <x:v>Total additional customer interactions</x:v>
      </x:c>
      <x:c r="B8" s="51" t="str">
        <x:v>Users × weeks × interactions/user/week</x:v>
      </x:c>
      <x:c r="C8" s="51" t="n">
        <x:f>'01_Assumptions'!B5*'01_Assumptions'!B6*'01_Assumptions'!B13</x:f>
        <x:v>960</x:v>
      </x:c>
      <x:c r="D8" s="51" t="str">
        <x:v>interactions</x:v>
      </x:c>
    </x:row>
    <x:row r="9" ht="20" customHeight="1">
      <x:c r="A9" s="51" t="str">
        <x:v>Adoption-adjusted interactions</x:v>
      </x:c>
      <x:c r="B9" s="51" t="str">
        <x:v>Additional interactions × effective adoption</x:v>
      </x:c>
      <x:c r="C9" s="51" t="n">
        <x:f>C8*'01_Assumptions'!B11</x:f>
        <x:v>720</x:v>
      </x:c>
      <x:c r="D9" s="51" t="str">
        <x:v>interactions</x:v>
      </x:c>
    </x:row>
    <x:row r="10" ht="20" customHeight="1">
      <x:c r="A10" s="51" t="str">
        <x:v>Modeled incremental deals</x:v>
      </x:c>
      <x:c r="B10" s="51" t="str">
        <x:v>Adoption-adjusted interactions × conversion × realization factor</x:v>
      </x:c>
      <x:c r="C10" s="53" t="n">
        <x:f>C9*'01_Assumptions'!B14*'01_Assumptions'!B16</x:f>
        <x:v>9.6000000012</x:v>
      </x:c>
      <x:c r="D10" s="51" t="str">
        <x:v>deals</x:v>
      </x:c>
    </x:row>
    <x:row r="11" ht="20" customHeight="1">
      <x:c r="A11" s="51" t="str">
        <x:v>Incremental commercial benefit</x:v>
      </x:c>
      <x:c r="B11" s="51" t="str">
        <x:v>Incremental deals × contribution/deal</x:v>
      </x:c>
      <x:c r="C11" s="52" t="n">
        <x:f>C10*'01_Assumptions'!B15</x:f>
        <x:v>115200.0000144</x:v>
      </x:c>
      <x:c r="D11" s="51" t="str">
        <x:v>USD</x:v>
      </x:c>
    </x:row>
    <x:row r="12" ht="20" customHeight="1">
      <x:c r="A12" s="51"/>
      <x:c r="B12" s="51"/>
      <x:c r="C12" s="51"/>
      <x:c r="D12" s="51"/>
    </x:row>
    <x:row r="13" ht="20" customHeight="1">
      <x:c r="A13" s="54" t="str">
        <x:v>Headline economics</x:v>
      </x:c>
      <x:c r="B13" s="54"/>
      <x:c r="C13" s="54"/>
      <x:c r="D13" s="54"/>
    </x:row>
    <x:row r="14" ht="20" customHeight="1">
      <x:c r="A14" s="50" t="str">
        <x:v>Metric</x:v>
      </x:c>
      <x:c r="B14" s="50" t="str">
        <x:v>Basis</x:v>
      </x:c>
      <x:c r="C14" s="50" t="str">
        <x:v>Output</x:v>
      </x:c>
      <x:c r="D14" s="50" t="str">
        <x:v>Units</x:v>
      </x:c>
    </x:row>
    <x:row r="15" ht="20" customHeight="1">
      <x:c r="A15" s="51" t="str">
        <x:v>Productivity benefit</x:v>
      </x:c>
      <x:c r="B15" s="51" t="str">
        <x:v>Pilot-period saved-time value</x:v>
      </x:c>
      <x:c r="C15" s="52" t="n">
        <x:f>C7</x:f>
        <x:v>66000</x:v>
      </x:c>
      <x:c r="D15" s="51" t="str">
        <x:v>USD</x:v>
      </x:c>
    </x:row>
    <x:row r="16" ht="20" customHeight="1">
      <x:c r="A16" s="51" t="str">
        <x:v>Incremental commercial benefit</x:v>
      </x:c>
      <x:c r="B16" s="51" t="str">
        <x:v>Pilot-period modeled contribution</x:v>
      </x:c>
      <x:c r="C16" s="52" t="n">
        <x:f>C11</x:f>
        <x:v>115200.0000144</x:v>
      </x:c>
      <x:c r="D16" s="51" t="str">
        <x:v>USD</x:v>
      </x:c>
    </x:row>
    <x:row r="17" ht="20" customHeight="1">
      <x:c r="A17" s="51" t="str">
        <x:v>Total quantified benefit</x:v>
      </x:c>
      <x:c r="B17" s="51" t="str">
        <x:v>Sum of quantified benefits</x:v>
      </x:c>
      <x:c r="C17" s="52" t="n">
        <x:f>SUM(C15:C16)</x:f>
        <x:v>181200.0000144</x:v>
      </x:c>
      <x:c r="D17" s="51" t="str">
        <x:v>USD</x:v>
      </x:c>
    </x:row>
    <x:row r="18" ht="20" customHeight="1">
      <x:c r="A18" s="51" t="str">
        <x:v>Pilot cost</x:v>
      </x:c>
      <x:c r="B18" s="51" t="str">
        <x:v>External pilot cost</x:v>
      </x:c>
      <x:c r="C18" s="52" t="n">
        <x:f>'01_Assumptions'!B17</x:f>
        <x:v>120000</x:v>
      </x:c>
      <x:c r="D18" s="51" t="str">
        <x:v>USD</x:v>
      </x:c>
    </x:row>
    <x:row r="19" ht="20" customHeight="1">
      <x:c r="A19" s="51" t="str">
        <x:v>Net benefit</x:v>
      </x:c>
      <x:c r="B19" s="51" t="str">
        <x:v>Total benefit less pilot cost</x:v>
      </x:c>
      <x:c r="C19" s="52" t="n">
        <x:f>C17-C18</x:f>
        <x:v>61200.00001439999</x:v>
      </x:c>
      <x:c r="D19" s="51" t="str">
        <x:v>USD</x:v>
      </x:c>
    </x:row>
    <x:row r="20" ht="20" customHeight="1">
      <x:c r="A20" s="51" t="str">
        <x:v>ROI</x:v>
      </x:c>
      <x:c r="B20" s="51" t="str">
        <x:v>Net benefit ÷ pilot cost</x:v>
      </x:c>
      <x:c r="C20" s="55" t="n">
        <x:f>IF(C18=0,0,C19/C18)</x:f>
        <x:v>0.5100000001199999</x:v>
      </x:c>
      <x:c r="D20" s="51" t="str">
        <x:v>return</x:v>
      </x:c>
    </x:row>
    <x:row r="21" ht="20" customHeight="1">
      <x:c r="A21" s="51" t="str">
        <x:v>Stated payback</x:v>
      </x:c>
      <x:c r="B21" s="51" t="str">
        <x:v>Pilot cost ÷ monthly annualized benefit run-rate</x:v>
      </x:c>
      <x:c r="C21" s="56" t="n">
        <x:f>IF(C17=0,0,ROUND(C18/(C17/12),0))</x:f>
        <x:v>8</x:v>
      </x:c>
      <x:c r="D21" s="51" t="str">
        <x:v>months</x:v>
      </x:c>
    </x:row>
    <x:row r="22" ht="20" customHeight="1">
      <x:c r="A22" s="51"/>
      <x:c r="B22" s="51"/>
      <x:c r="C22" s="51"/>
      <x:c r="D22" s="51"/>
    </x:row>
    <x:row r="23" ht="20" customHeight="1">
      <x:c r="A23" s="54" t="str">
        <x:v>Model status and checks</x:v>
      </x:c>
      <x:c r="B23" s="54"/>
      <x:c r="C23" s="54"/>
      <x:c r="D23" s="54"/>
    </x:row>
    <x:row r="24" ht="20" customHeight="1">
      <x:c r="A24" s="50" t="str">
        <x:v>Check</x:v>
      </x:c>
      <x:c r="B24" s="50" t="str">
        <x:v>Actual</x:v>
      </x:c>
      <x:c r="C24" s="50" t="str">
        <x:v>Expected</x:v>
      </x:c>
      <x:c r="D24" s="50" t="str">
        <x:v>Status</x:v>
      </x:c>
    </x:row>
    <x:row r="25" ht="20" customHeight="1">
      <x:c r="A25" s="51" t="str">
        <x:v>Benefit components tie</x:v>
      </x:c>
      <x:c r="B25" s="51" t="n">
        <x:f>C17-SUM(C15:C16)</x:f>
        <x:v>0</x:v>
      </x:c>
      <x:c r="C25" s="51" t="n">
        <x:v>0</x:v>
      </x:c>
      <x:c r="D25" s="51" t="str">
        <x:f>IF(ABS(B25-C25)&lt;0.01,"OK","CHECK")</x:f>
        <x:v>OK</x:v>
      </x:c>
    </x:row>
    <x:row r="26" ht="20" customHeight="1">
      <x:c r="A26" s="51" t="str">
        <x:v>Net benefit arithmetic</x:v>
      </x:c>
      <x:c r="B26" s="51" t="n">
        <x:f>C19-(C17-C18)</x:f>
        <x:v>0</x:v>
      </x:c>
      <x:c r="C26" s="51" t="n">
        <x:v>0</x:v>
      </x:c>
      <x:c r="D26" s="51" t="str">
        <x:f>IF(ABS(B26-C26)&lt;0.01,"OK","CHECK")</x:f>
        <x:v>OK</x:v>
      </x:c>
    </x:row>
    <x:row r="27" ht="20" customHeight="1">
      <x:c r="A27" s="51" t="str">
        <x:v>ROI denominator valid</x:v>
      </x:c>
      <x:c r="B27" s="51" t="n">
        <x:f>IF(C18&gt;0,1,0)</x:f>
        <x:v>1</x:v>
      </x:c>
      <x:c r="C27" s="51" t="n">
        <x:v>1</x:v>
      </x:c>
      <x:c r="D27" s="51" t="str">
        <x:f>IF(B27=C27,"OK","CHECK")</x:f>
        <x:v>OK</x:v>
      </x:c>
    </x:row>
    <x:row r="28" ht="20" customHeight="1">
      <x:c r="A28" s="51" t="str">
        <x:v>Payback denominator valid</x:v>
      </x:c>
      <x:c r="B28" s="51" t="n">
        <x:f>IF(C17&gt;0,1,0)</x:f>
        <x:v>1</x:v>
      </x:c>
      <x:c r="C28" s="51" t="n">
        <x:v>1</x:v>
      </x:c>
      <x:c r="D28" s="51" t="str">
        <x:f>IF(B28=C28,"OK","CHECK")</x:f>
        <x:v>OK</x:v>
      </x:c>
    </x:row>
    <x:row r="29" ht="20" customHeight="1">
      <x:c r="A29" s="57" t="str">
        <x:v>MODEL STATUS</x:v>
      </x:c>
      <x:c r="B29" s="57"/>
      <x:c r="C29" s="57"/>
      <x:c r="D29" s="57" t="str">
        <x:f>IF(COUNTIF(D25:D28,"CHECK")=0,"PASS","REVIEW")</x:f>
        <x:v>PASS</x:v>
      </x:c>
    </x:row>
  </x:sheetData>
  <x:mergeCells>
    <x:mergeCell ref="A1:D1"/>
    <x:mergeCell ref="A2:D2"/>
    <x:mergeCell ref="A4:D4"/>
    <x:mergeCell ref="A13:D13"/>
    <x:mergeCell ref="A23:D23"/>
    <x:mergeCell ref="A29:C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15" hidden="0" customWidth="1"/>
  </x:cols>
  <x:sheetData>
    <x:row r="1" ht="28" customHeight="1">
      <x:c r="A1" s="3" t="str">
        <x:v>Sensitivity Analysis</x:v>
      </x:c>
      <x:c r="B1" s="3"/>
      <x:c r="C1" s="3"/>
      <x:c r="D1" s="3"/>
      <x:c r="E1" s="3"/>
    </x:row>
    <x:row r="2" ht="22" customHeight="1">
      <x:c r="A2" s="6" t="str">
        <x:v>Impact on quantified benefits and ROI around the base case</x:v>
      </x:c>
      <x:c r="B2" s="6"/>
      <x:c r="C2" s="6"/>
      <x:c r="D2" s="6"/>
      <x:c r="E2" s="6"/>
    </x:row>
    <x:row r="3">
      <x:c r="A3" s="23"/>
      <x:c r="B3" s="23"/>
      <x:c r="C3" s="23"/>
      <x:c r="D3" s="23"/>
      <x:c r="E3" s="23"/>
    </x:row>
    <x:row r="4" ht="20" customHeight="1">
      <x:c r="A4" s="36" t="str">
        <x:v>Adoption sensitivity</x:v>
      </x:c>
      <x:c r="B4" s="36"/>
      <x:c r="C4" s="36"/>
      <x:c r="D4" s="36"/>
      <x:c r="E4" s="36"/>
    </x:row>
    <x:row r="5" ht="21" customHeight="1">
      <x:c r="A5" s="50" t="str">
        <x:v>Effective adoption</x:v>
      </x:c>
      <x:c r="B5" s="50" t="str">
        <x:v>Productivity benefit</x:v>
      </x:c>
      <x:c r="C5" s="50" t="str">
        <x:v>Commercial benefit</x:v>
      </x:c>
      <x:c r="D5" s="50" t="str">
        <x:v>Total benefit</x:v>
      </x:c>
      <x:c r="E5" s="50" t="str">
        <x:v>ROI</x:v>
      </x:c>
    </x:row>
    <x:row r="6" ht="21" customHeight="1">
      <x:c r="A6" s="55" t="n">
        <x:v>0.6</x:v>
      </x:c>
      <x:c r="B6" s="52" t="n">
        <x:f>'02_Base_Case'!C15</x:f>
        <x:v>66000</x:v>
      </x:c>
      <x:c r="C6" s="52" t="n">
        <x:f>'02_Base_Case'!C16*(A6/'01_Assumptions'!B11)</x:f>
        <x:v>92160.00001151998</x:v>
      </x:c>
      <x:c r="D6" s="52" t="n">
        <x:f>SUM(B6:C6)</x:f>
        <x:v>158160.00001152</x:v>
      </x:c>
      <x:c r="E6" s="55" t="n">
        <x:f>(D6-'01_Assumptions'!B17)/'01_Assumptions'!B17</x:f>
        <x:v>0.31800000009599994</x:v>
      </x:c>
    </x:row>
    <x:row r="7" ht="21" customHeight="1">
      <x:c r="A7" s="67" t="n">
        <x:v>0.75</x:v>
      </x:c>
      <x:c r="B7" s="68" t="n">
        <x:f>'02_Base_Case'!C15</x:f>
        <x:v>66000</x:v>
      </x:c>
      <x:c r="C7" s="68" t="n">
        <x:f>'02_Base_Case'!C16*(A7/'01_Assumptions'!B11)</x:f>
        <x:v>115200.0000144</x:v>
      </x:c>
      <x:c r="D7" s="68" t="n">
        <x:f>SUM(B7:C7)</x:f>
        <x:v>181200.0000144</x:v>
      </x:c>
      <x:c r="E7" s="67" t="n">
        <x:f>(D7-'01_Assumptions'!B17)/'01_Assumptions'!B17</x:f>
        <x:v>0.5100000001199999</x:v>
      </x:c>
    </x:row>
    <x:row r="8" ht="21" customHeight="1">
      <x:c r="A8" s="55" t="n">
        <x:v>0.9</x:v>
      </x:c>
      <x:c r="B8" s="52" t="n">
        <x:f>'02_Base_Case'!C15</x:f>
        <x:v>66000</x:v>
      </x:c>
      <x:c r="C8" s="52" t="n">
        <x:f>'02_Base_Case'!C16*(A8/'01_Assumptions'!B11)</x:f>
        <x:v>138240.00001728</x:v>
      </x:c>
      <x:c r="D8" s="52" t="n">
        <x:f>SUM(B8:C8)</x:f>
        <x:v>204240.00001728</x:v>
      </x:c>
      <x:c r="E8" s="55" t="n">
        <x:f>(D8-'01_Assumptions'!B17)/'01_Assumptions'!B17</x:f>
        <x:v>0.7020000001439999</x:v>
      </x:c>
    </x:row>
    <x:row r="9" ht="21" customHeight="1">
      <x:c r="A9" s="51"/>
      <x:c r="B9" s="51"/>
      <x:c r="C9" s="51"/>
      <x:c r="D9" s="51"/>
      <x:c r="E9" s="51"/>
    </x:row>
    <x:row r="10" ht="21" customHeight="1">
      <x:c r="A10" s="54" t="str">
        <x:v>Incremental conversion sensitivity</x:v>
      </x:c>
      <x:c r="B10" s="54"/>
      <x:c r="C10" s="54"/>
      <x:c r="D10" s="54"/>
      <x:c r="E10" s="54"/>
    </x:row>
    <x:row r="11" ht="21" customHeight="1">
      <x:c r="A11" s="50" t="str">
        <x:v>Incremental conversion</x:v>
      </x:c>
      <x:c r="B11" s="50" t="str">
        <x:v>Productivity benefit</x:v>
      </x:c>
      <x:c r="C11" s="50" t="str">
        <x:v>Commercial benefit</x:v>
      </x:c>
      <x:c r="D11" s="50" t="str">
        <x:v>Total benefit</x:v>
      </x:c>
      <x:c r="E11" s="50" t="str">
        <x:v>ROI</x:v>
      </x:c>
    </x:row>
    <x:row r="12" ht="21" customHeight="1">
      <x:c r="A12" s="55" t="n">
        <x:v>0.03</x:v>
      </x:c>
      <x:c r="B12" s="52" t="n">
        <x:f>'02_Base_Case'!C15</x:f>
        <x:v>66000</x:v>
      </x:c>
      <x:c r="C12" s="52" t="n">
        <x:f>'02_Base_Case'!C16*(A12/'01_Assumptions'!B14)</x:f>
        <x:v>69120.00000864</x:v>
      </x:c>
      <x:c r="D12" s="52" t="n">
        <x:f>SUM(B12:C12)</x:f>
        <x:v>135120.00000864</x:v>
      </x:c>
      <x:c r="E12" s="55" t="n">
        <x:f>(D12-'01_Assumptions'!B17)/'01_Assumptions'!B17</x:f>
        <x:v>0.12600000007199996</x:v>
      </x:c>
    </x:row>
    <x:row r="13" ht="21" customHeight="1">
      <x:c r="A13" s="67" t="n">
        <x:v>0.05</x:v>
      </x:c>
      <x:c r="B13" s="68" t="n">
        <x:f>'02_Base_Case'!C15</x:f>
        <x:v>66000</x:v>
      </x:c>
      <x:c r="C13" s="68" t="n">
        <x:f>'02_Base_Case'!C16*(A13/'01_Assumptions'!B14)</x:f>
        <x:v>115200.0000144</x:v>
      </x:c>
      <x:c r="D13" s="68" t="n">
        <x:f>SUM(B13:C13)</x:f>
        <x:v>181200.0000144</x:v>
      </x:c>
      <x:c r="E13" s="67" t="n">
        <x:f>(D13-'01_Assumptions'!B17)/'01_Assumptions'!B17</x:f>
        <x:v>0.5100000001199999</x:v>
      </x:c>
    </x:row>
    <x:row r="14" ht="21" customHeight="1">
      <x:c r="A14" s="55" t="n">
        <x:v>0.07</x:v>
      </x:c>
      <x:c r="B14" s="52" t="n">
        <x:f>'02_Base_Case'!C15</x:f>
        <x:v>66000</x:v>
      </x:c>
      <x:c r="C14" s="52" t="n">
        <x:f>'02_Base_Case'!C16*(A14/'01_Assumptions'!B14)</x:f>
        <x:v>161280.00002016002</x:v>
      </x:c>
      <x:c r="D14" s="52" t="n">
        <x:f>SUM(B14:C14)</x:f>
        <x:v>227280.00002016002</x:v>
      </x:c>
      <x:c r="E14" s="55" t="n">
        <x:f>(D14-'01_Assumptions'!B17)/'01_Assumptions'!B17</x:f>
        <x:v>0.8940000001680002</x:v>
      </x:c>
    </x:row>
    <x:row r="15" ht="21" customHeight="1">
      <x:c r="A15" s="51"/>
      <x:c r="B15" s="51"/>
      <x:c r="C15" s="51"/>
      <x:c r="D15" s="51"/>
      <x:c r="E15" s="51"/>
    </x:row>
    <x:row r="16" ht="21" customHeight="1">
      <x:c r="A16" s="54" t="str">
        <x:v>Time-saving sensitivity</x:v>
      </x:c>
      <x:c r="B16" s="54"/>
      <x:c r="C16" s="54"/>
      <x:c r="D16" s="54"/>
      <x:c r="E16" s="54"/>
    </x:row>
    <x:row r="17" ht="21" customHeight="1">
      <x:c r="A17" s="50" t="str">
        <x:v>Time reduction</x:v>
      </x:c>
      <x:c r="B17" s="50" t="str">
        <x:v>Productivity benefit</x:v>
      </x:c>
      <x:c r="C17" s="50" t="str">
        <x:v>Commercial benefit</x:v>
      </x:c>
      <x:c r="D17" s="50" t="str">
        <x:v>Total benefit</x:v>
      </x:c>
      <x:c r="E17" s="50" t="str">
        <x:v>ROI</x:v>
      </x:c>
    </x:row>
    <x:row r="18" ht="21" customHeight="1">
      <x:c r="A18" s="64" t="n">
        <x:v>0.2</x:v>
      </x:c>
      <x:c r="B18" s="52" t="n">
        <x:f>'01_Assumptions'!B5*'01_Assumptions'!B6*'01_Assumptions'!B7*A18*'01_Assumptions'!B10</x:f>
        <x:v>42240</x:v>
      </x:c>
      <x:c r="C18" s="52" t="n">
        <x:f>'02_Base_Case'!C16</x:f>
        <x:v>115200.0000144</x:v>
      </x:c>
      <x:c r="D18" s="52" t="n">
        <x:f>SUM(B18:C18)</x:f>
        <x:v>157440.0000144</x:v>
      </x:c>
      <x:c r="E18" s="55" t="n">
        <x:f>(D18-'01_Assumptions'!B17)/'01_Assumptions'!B17</x:f>
        <x:v>0.31200000011999995</x:v>
      </x:c>
    </x:row>
    <x:row r="19" ht="21" customHeight="1">
      <x:c r="A19" s="70" t="n">
        <x:v>0.3125</x:v>
      </x:c>
      <x:c r="B19" s="68" t="n">
        <x:f>'01_Assumptions'!B5*'01_Assumptions'!B6*'01_Assumptions'!B7*A19*'01_Assumptions'!B10</x:f>
        <x:v>66000</x:v>
      </x:c>
      <x:c r="C19" s="68" t="n">
        <x:f>'02_Base_Case'!C16</x:f>
        <x:v>115200.0000144</x:v>
      </x:c>
      <x:c r="D19" s="68" t="n">
        <x:f>SUM(B19:C19)</x:f>
        <x:v>181200.0000144</x:v>
      </x:c>
      <x:c r="E19" s="67" t="n">
        <x:f>(D19-'01_Assumptions'!B17)/'01_Assumptions'!B17</x:f>
        <x:v>0.5100000001199999</x:v>
      </x:c>
    </x:row>
    <x:row r="20" ht="21" customHeight="1">
      <x:c r="A20" s="64" t="n">
        <x:v>0.4</x:v>
      </x:c>
      <x:c r="B20" s="52" t="n">
        <x:f>'01_Assumptions'!B5*'01_Assumptions'!B6*'01_Assumptions'!B7*A20*'01_Assumptions'!B10</x:f>
        <x:v>84480</x:v>
      </x:c>
      <x:c r="C20" s="52" t="n">
        <x:f>'02_Base_Case'!C16</x:f>
        <x:v>115200.0000144</x:v>
      </x:c>
      <x:c r="D20" s="52" t="n">
        <x:f>SUM(B20:C20)</x:f>
        <x:v>199680.0000144</x:v>
      </x:c>
      <x:c r="E20" s="55" t="n">
        <x:f>(D20-'01_Assumptions'!B17)/'01_Assumptions'!B17</x:f>
        <x:v>0.6640000001199999</x:v>
      </x:c>
    </x:row>
    <x:row r="21" ht="21" customHeight="1">
      <x:c r="A21" s="23"/>
      <x:c r="B21" s="23"/>
      <x:c r="C21" s="23"/>
      <x:c r="D21" s="23"/>
      <x:c r="E21" s="23"/>
    </x:row>
    <x:row r="22" ht="34" customHeight="1">
      <x:c r="A22" s="63" t="str">
        <x:v>The tables recalculate the underlying benefit mechanics. The 60% adoption row reflects the proposal success threshold; 75% is the financial base case.</x:v>
      </x:c>
      <x:c r="B22" s="63"/>
      <x:c r="C22" s="63"/>
      <x:c r="D22" s="63"/>
      <x:c r="E22" s="63"/>
    </x:row>
  </x:sheetData>
  <x:mergeCells>
    <x:mergeCell ref="A1:E1"/>
    <x:mergeCell ref="A2:E2"/>
    <x:mergeCell ref="A4:E4"/>
    <x:mergeCell ref="A10:E10"/>
    <x:mergeCell ref="A16:E16"/>
    <x:mergeCell ref="A22:E22"/>
  </x:mergeCells>
  <x:pageMargins left="0.7" right="0.7" top="0.75" bottom="0.75" header="0.3" footer="0.3"/>
</x:worksheet>
</file>